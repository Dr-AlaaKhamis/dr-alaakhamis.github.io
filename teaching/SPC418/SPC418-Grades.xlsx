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bookViews>
    <workbookView xWindow="0" yWindow="0" windowWidth="28800" windowHeight="12330"/>
  </bookViews>
  <sheets>
    <sheet name="SPC418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O12" i="1"/>
  <c r="O13" i="1"/>
  <c r="O15" i="1"/>
  <c r="O29" i="1"/>
  <c r="O30" i="1"/>
  <c r="O37" i="1"/>
  <c r="O38" i="1"/>
  <c r="O39" i="1"/>
  <c r="O40" i="1"/>
  <c r="N8" i="1"/>
  <c r="O8" i="1" s="1"/>
  <c r="N9" i="1"/>
  <c r="O9" i="1" s="1"/>
  <c r="N11" i="1"/>
  <c r="O11" i="1" s="1"/>
  <c r="N12" i="1"/>
  <c r="N13" i="1"/>
  <c r="N15" i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7" i="1"/>
  <c r="O27" i="1" s="1"/>
  <c r="N28" i="1"/>
  <c r="O28" i="1" s="1"/>
  <c r="N29" i="1"/>
  <c r="N30" i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N38" i="1"/>
  <c r="N39" i="1"/>
  <c r="N40" i="1"/>
  <c r="N41" i="1"/>
  <c r="O41" i="1" s="1"/>
  <c r="N42" i="1"/>
  <c r="O42" i="1" s="1"/>
  <c r="N43" i="1"/>
  <c r="O43" i="1" s="1"/>
  <c r="N3" i="1"/>
  <c r="O3" i="1" s="1"/>
  <c r="N4" i="1"/>
  <c r="O4" i="1" s="1"/>
  <c r="N6" i="1"/>
  <c r="O6" i="1" s="1"/>
  <c r="N7" i="1"/>
  <c r="O7" i="1" s="1"/>
  <c r="N2" i="1"/>
  <c r="O2" i="1" s="1"/>
  <c r="M25" i="1"/>
  <c r="N25" i="1" s="1"/>
  <c r="O25" i="1" s="1"/>
  <c r="M24" i="1"/>
  <c r="N24" i="1" s="1"/>
  <c r="O24" i="1" s="1"/>
  <c r="M23" i="1"/>
  <c r="N23" i="1" s="1"/>
  <c r="O23" i="1" s="1"/>
  <c r="M5" i="1"/>
  <c r="N5" i="1" s="1"/>
  <c r="O5" i="1" s="1"/>
  <c r="M7" i="1"/>
  <c r="M10" i="1"/>
  <c r="N10" i="1" s="1"/>
  <c r="O10" i="1" s="1"/>
  <c r="M26" i="1" l="1"/>
  <c r="N26" i="1" s="1"/>
  <c r="O26" i="1" s="1"/>
  <c r="M14" i="1"/>
  <c r="N14" i="1" s="1"/>
  <c r="O14" i="1" s="1"/>
  <c r="G36" i="1" l="1"/>
  <c r="F36" i="1"/>
  <c r="E36" i="1"/>
  <c r="G40" i="1"/>
  <c r="F40" i="1"/>
  <c r="E40" i="1"/>
  <c r="G35" i="1"/>
  <c r="F35" i="1"/>
  <c r="E35" i="1"/>
  <c r="G21" i="1"/>
  <c r="F21" i="1"/>
  <c r="E21" i="1"/>
  <c r="G38" i="1"/>
  <c r="F38" i="1"/>
  <c r="E38" i="1"/>
  <c r="H38" i="1" s="1"/>
  <c r="I38" i="1" s="1"/>
  <c r="P38" i="1" s="1"/>
  <c r="G15" i="1"/>
  <c r="F15" i="1"/>
  <c r="E15" i="1"/>
  <c r="G23" i="1"/>
  <c r="F23" i="1"/>
  <c r="E23" i="1"/>
  <c r="G34" i="1"/>
  <c r="F34" i="1"/>
  <c r="E34" i="1"/>
  <c r="G16" i="1"/>
  <c r="F16" i="1"/>
  <c r="E16" i="1"/>
  <c r="G3" i="1"/>
  <c r="F3" i="1"/>
  <c r="E3" i="1"/>
  <c r="G4" i="1"/>
  <c r="F4" i="1"/>
  <c r="E4" i="1"/>
  <c r="G12" i="1"/>
  <c r="F12" i="1"/>
  <c r="E12" i="1"/>
  <c r="G28" i="1"/>
  <c r="F28" i="1"/>
  <c r="E28" i="1"/>
  <c r="H28" i="1" s="1"/>
  <c r="I28" i="1" s="1"/>
  <c r="P28" i="1" s="1"/>
  <c r="G19" i="1"/>
  <c r="F19" i="1"/>
  <c r="E19" i="1"/>
  <c r="G32" i="1"/>
  <c r="F32" i="1"/>
  <c r="E32" i="1"/>
  <c r="G2" i="1"/>
  <c r="F2" i="1"/>
  <c r="E2" i="1"/>
  <c r="G6" i="1"/>
  <c r="F6" i="1"/>
  <c r="E6" i="1"/>
  <c r="G9" i="1"/>
  <c r="F9" i="1"/>
  <c r="E9" i="1"/>
  <c r="G5" i="1"/>
  <c r="F5" i="1"/>
  <c r="E5" i="1"/>
  <c r="G43" i="1"/>
  <c r="F43" i="1"/>
  <c r="E43" i="1"/>
  <c r="G7" i="1"/>
  <c r="F7" i="1"/>
  <c r="E7" i="1"/>
  <c r="H7" i="1" s="1"/>
  <c r="I7" i="1" s="1"/>
  <c r="P7" i="1" s="1"/>
  <c r="G30" i="1"/>
  <c r="F30" i="1"/>
  <c r="E30" i="1"/>
  <c r="G25" i="1"/>
  <c r="F25" i="1"/>
  <c r="E25" i="1"/>
  <c r="G31" i="1"/>
  <c r="F31" i="1"/>
  <c r="E31" i="1"/>
  <c r="G17" i="1"/>
  <c r="F17" i="1"/>
  <c r="E17" i="1"/>
  <c r="G18" i="1"/>
  <c r="F18" i="1"/>
  <c r="E18" i="1"/>
  <c r="G42" i="1"/>
  <c r="F42" i="1"/>
  <c r="E42" i="1"/>
  <c r="G8" i="1"/>
  <c r="F8" i="1"/>
  <c r="E8" i="1"/>
  <c r="G39" i="1"/>
  <c r="F39" i="1"/>
  <c r="E39" i="1"/>
  <c r="H39" i="1" s="1"/>
  <c r="I39" i="1" s="1"/>
  <c r="P39" i="1" s="1"/>
  <c r="G22" i="1"/>
  <c r="F22" i="1"/>
  <c r="E22" i="1"/>
  <c r="G10" i="1"/>
  <c r="F10" i="1"/>
  <c r="E10" i="1"/>
  <c r="G33" i="1"/>
  <c r="F33" i="1"/>
  <c r="E33" i="1"/>
  <c r="G37" i="1"/>
  <c r="F37" i="1"/>
  <c r="E37" i="1"/>
  <c r="G29" i="1"/>
  <c r="F29" i="1"/>
  <c r="E29" i="1"/>
  <c r="G20" i="1"/>
  <c r="F20" i="1"/>
  <c r="E20" i="1"/>
  <c r="G14" i="1"/>
  <c r="F14" i="1"/>
  <c r="E14" i="1"/>
  <c r="G27" i="1"/>
  <c r="F27" i="1"/>
  <c r="E27" i="1"/>
  <c r="H27" i="1" s="1"/>
  <c r="I27" i="1" s="1"/>
  <c r="P27" i="1" s="1"/>
  <c r="G13" i="1"/>
  <c r="F13" i="1"/>
  <c r="E13" i="1"/>
  <c r="G24" i="1"/>
  <c r="F24" i="1"/>
  <c r="E24" i="1"/>
  <c r="G11" i="1"/>
  <c r="F11" i="1"/>
  <c r="E11" i="1"/>
  <c r="G26" i="1"/>
  <c r="F26" i="1"/>
  <c r="E26" i="1"/>
  <c r="G41" i="1"/>
  <c r="F41" i="1"/>
  <c r="E41" i="1"/>
  <c r="H41" i="1" l="1"/>
  <c r="I41" i="1" s="1"/>
  <c r="P41" i="1" s="1"/>
  <c r="H26" i="1"/>
  <c r="I26" i="1" s="1"/>
  <c r="P26" i="1" s="1"/>
  <c r="H14" i="1"/>
  <c r="I14" i="1" s="1"/>
  <c r="P14" i="1" s="1"/>
  <c r="H20" i="1"/>
  <c r="I20" i="1" s="1"/>
  <c r="P20" i="1" s="1"/>
  <c r="H29" i="1"/>
  <c r="I29" i="1" s="1"/>
  <c r="P29" i="1" s="1"/>
  <c r="H37" i="1"/>
  <c r="I37" i="1" s="1"/>
  <c r="P37" i="1" s="1"/>
  <c r="H8" i="1"/>
  <c r="I8" i="1" s="1"/>
  <c r="P8" i="1" s="1"/>
  <c r="H42" i="1"/>
  <c r="I42" i="1" s="1"/>
  <c r="P42" i="1" s="1"/>
  <c r="H18" i="1"/>
  <c r="I18" i="1" s="1"/>
  <c r="P18" i="1" s="1"/>
  <c r="H17" i="1"/>
  <c r="I17" i="1" s="1"/>
  <c r="P17" i="1" s="1"/>
  <c r="H43" i="1"/>
  <c r="I43" i="1" s="1"/>
  <c r="P43" i="1" s="1"/>
  <c r="H5" i="1"/>
  <c r="I5" i="1" s="1"/>
  <c r="P5" i="1" s="1"/>
  <c r="H9" i="1"/>
  <c r="I9" i="1" s="1"/>
  <c r="P9" i="1" s="1"/>
  <c r="H6" i="1"/>
  <c r="I6" i="1" s="1"/>
  <c r="P6" i="1" s="1"/>
  <c r="H12" i="1"/>
  <c r="I12" i="1" s="1"/>
  <c r="P12" i="1" s="1"/>
  <c r="H4" i="1"/>
  <c r="I4" i="1" s="1"/>
  <c r="P4" i="1" s="1"/>
  <c r="H3" i="1"/>
  <c r="I3" i="1" s="1"/>
  <c r="P3" i="1" s="1"/>
  <c r="H16" i="1"/>
  <c r="I16" i="1" s="1"/>
  <c r="P16" i="1" s="1"/>
  <c r="H21" i="1"/>
  <c r="I21" i="1" s="1"/>
  <c r="P21" i="1" s="1"/>
  <c r="H35" i="1"/>
  <c r="I35" i="1" s="1"/>
  <c r="P35" i="1" s="1"/>
  <c r="H40" i="1"/>
  <c r="I40" i="1" s="1"/>
  <c r="P40" i="1" s="1"/>
  <c r="H36" i="1"/>
  <c r="I36" i="1" s="1"/>
  <c r="P36" i="1" s="1"/>
  <c r="H11" i="1"/>
  <c r="I11" i="1" s="1"/>
  <c r="P11" i="1" s="1"/>
  <c r="H24" i="1"/>
  <c r="I24" i="1" s="1"/>
  <c r="P24" i="1" s="1"/>
  <c r="H13" i="1"/>
  <c r="I13" i="1" s="1"/>
  <c r="P13" i="1" s="1"/>
  <c r="H33" i="1"/>
  <c r="I33" i="1" s="1"/>
  <c r="P33" i="1" s="1"/>
  <c r="H10" i="1"/>
  <c r="I10" i="1" s="1"/>
  <c r="P10" i="1" s="1"/>
  <c r="H22" i="1"/>
  <c r="I22" i="1" s="1"/>
  <c r="P22" i="1" s="1"/>
  <c r="H31" i="1"/>
  <c r="I31" i="1" s="1"/>
  <c r="P31" i="1" s="1"/>
  <c r="H25" i="1"/>
  <c r="I25" i="1" s="1"/>
  <c r="P25" i="1" s="1"/>
  <c r="H30" i="1"/>
  <c r="I30" i="1" s="1"/>
  <c r="P30" i="1" s="1"/>
  <c r="H2" i="1"/>
  <c r="I2" i="1" s="1"/>
  <c r="P2" i="1" s="1"/>
  <c r="H32" i="1"/>
  <c r="I32" i="1" s="1"/>
  <c r="P32" i="1" s="1"/>
  <c r="H19" i="1"/>
  <c r="I19" i="1" s="1"/>
  <c r="P19" i="1" s="1"/>
  <c r="H34" i="1"/>
  <c r="I34" i="1" s="1"/>
  <c r="P34" i="1" s="1"/>
  <c r="H23" i="1"/>
  <c r="I23" i="1" s="1"/>
  <c r="P23" i="1" s="1"/>
  <c r="H15" i="1"/>
  <c r="I15" i="1" s="1"/>
  <c r="P15" i="1" s="1"/>
</calcChain>
</file>

<file path=xl/sharedStrings.xml><?xml version="1.0" encoding="utf-8"?>
<sst xmlns="http://schemas.openxmlformats.org/spreadsheetml/2006/main" count="16" uniqueCount="16">
  <si>
    <t>University ID</t>
  </si>
  <si>
    <t>Assignment-1</t>
  </si>
  <si>
    <t>Assignment-2</t>
  </si>
  <si>
    <t>Assignment-3</t>
  </si>
  <si>
    <t>Assignment-1 (%)</t>
  </si>
  <si>
    <t>Assignment-2 (%)</t>
  </si>
  <si>
    <t>Assignment-3 (%)</t>
  </si>
  <si>
    <t>Assignments (%)</t>
  </si>
  <si>
    <t>Assignments (10)</t>
  </si>
  <si>
    <t>Midterm Report (10)</t>
  </si>
  <si>
    <t>Midterm Exam (%)</t>
  </si>
  <si>
    <t>Midterm Exam (25)</t>
  </si>
  <si>
    <t>Midterm Exam + bonus (25)</t>
  </si>
  <si>
    <t>Total (45)</t>
  </si>
  <si>
    <t>Midterm Exam + bonus (%)</t>
  </si>
  <si>
    <t>Bonus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</si>
</sst>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abSelected="1" zoomScaleNormal="100" workbookViewId="0">
      <selection activeCell="O38" sqref="O38"/>
    </sheetView>
  </sheetViews>
  <sheetFormatPr defaultRowHeight="15" x14ac:dyDescent="0.25"/>
  <cols>
    <col min="1" max="1" width="12.140625" style="8" customWidth="1"/>
    <col min="2" max="4" width="13.28515625" style="8" hidden="1" customWidth="1"/>
    <col min="5" max="7" width="16.7109375" style="8" bestFit="1" customWidth="1"/>
    <col min="8" max="8" width="15.85546875" style="8" bestFit="1" customWidth="1"/>
    <col min="9" max="9" width="16.28515625" style="8" bestFit="1" customWidth="1"/>
    <col min="10" max="10" width="19.42578125" style="8" bestFit="1" customWidth="1"/>
    <col min="11" max="11" width="17.7109375" style="8" bestFit="1" customWidth="1"/>
    <col min="12" max="12" width="18.140625" style="8" bestFit="1" customWidth="1"/>
    <col min="13" max="13" width="9.85546875" style="8" bestFit="1" customWidth="1"/>
    <col min="14" max="14" width="25.140625" style="8" bestFit="1" customWidth="1"/>
    <col min="15" max="15" width="25.7109375" style="8" customWidth="1"/>
    <col min="16" max="16" width="10" style="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15</v>
      </c>
      <c r="N1" s="2" t="s">
        <v>14</v>
      </c>
      <c r="O1" s="2" t="s">
        <v>12</v>
      </c>
      <c r="P1" s="2" t="s">
        <v>13</v>
      </c>
    </row>
    <row r="2" spans="1:16" x14ac:dyDescent="0.25">
      <c r="A2" s="3">
        <v>201300116</v>
      </c>
      <c r="B2" s="4">
        <v>14.5</v>
      </c>
      <c r="C2" s="4">
        <v>10</v>
      </c>
      <c r="D2" s="4">
        <v>8</v>
      </c>
      <c r="E2" s="5">
        <f t="shared" ref="E2:E43" si="0">B2/20*100</f>
        <v>72.5</v>
      </c>
      <c r="F2" s="5">
        <f t="shared" ref="F2:F43" si="1">C2/10*100</f>
        <v>100</v>
      </c>
      <c r="G2" s="5">
        <f t="shared" ref="G2:G43" si="2">D2/10*100</f>
        <v>80</v>
      </c>
      <c r="H2" s="6">
        <f t="shared" ref="H2:H43" si="3">AVERAGE(E2,F2,G2)</f>
        <v>84.166666666666671</v>
      </c>
      <c r="I2" s="7">
        <f t="shared" ref="I2:I43" si="4">H2*10/100</f>
        <v>8.4166666666666679</v>
      </c>
      <c r="J2" s="5">
        <v>6</v>
      </c>
      <c r="K2" s="5">
        <v>81</v>
      </c>
      <c r="L2" s="7">
        <f t="shared" ref="L2:L43" si="5">K2*25/100</f>
        <v>20.25</v>
      </c>
      <c r="M2" s="10">
        <v>0</v>
      </c>
      <c r="N2" s="7">
        <f>K2+M2</f>
        <v>81</v>
      </c>
      <c r="O2" s="7">
        <f>N2*25/100</f>
        <v>20.25</v>
      </c>
      <c r="P2" s="11">
        <f>I2+J2+O2</f>
        <v>34.666666666666671</v>
      </c>
    </row>
    <row r="3" spans="1:16" x14ac:dyDescent="0.25">
      <c r="A3" s="3">
        <v>201300202</v>
      </c>
      <c r="B3" s="4">
        <v>15</v>
      </c>
      <c r="C3" s="4">
        <v>10</v>
      </c>
      <c r="D3" s="4">
        <v>8</v>
      </c>
      <c r="E3" s="5">
        <f t="shared" si="0"/>
        <v>75</v>
      </c>
      <c r="F3" s="5">
        <f t="shared" si="1"/>
        <v>100</v>
      </c>
      <c r="G3" s="5">
        <f t="shared" si="2"/>
        <v>80</v>
      </c>
      <c r="H3" s="6">
        <f t="shared" si="3"/>
        <v>85</v>
      </c>
      <c r="I3" s="7">
        <f t="shared" si="4"/>
        <v>8.5</v>
      </c>
      <c r="J3" s="5">
        <v>8.5</v>
      </c>
      <c r="K3" s="5">
        <v>84</v>
      </c>
      <c r="L3" s="7">
        <f t="shared" si="5"/>
        <v>21</v>
      </c>
      <c r="M3" s="10">
        <v>8</v>
      </c>
      <c r="N3" s="7">
        <f>K3+M3</f>
        <v>92</v>
      </c>
      <c r="O3" s="7">
        <f t="shared" ref="O3:O43" si="6">N3*25/100</f>
        <v>23</v>
      </c>
      <c r="P3" s="11">
        <f>I3+J3+O3</f>
        <v>40</v>
      </c>
    </row>
    <row r="4" spans="1:16" x14ac:dyDescent="0.25">
      <c r="A4" s="3">
        <v>201300465</v>
      </c>
      <c r="B4" s="4">
        <v>19.5</v>
      </c>
      <c r="C4" s="4">
        <v>0</v>
      </c>
      <c r="D4" s="4">
        <v>3</v>
      </c>
      <c r="E4" s="5">
        <f t="shared" si="0"/>
        <v>97.5</v>
      </c>
      <c r="F4" s="5">
        <f t="shared" si="1"/>
        <v>0</v>
      </c>
      <c r="G4" s="5">
        <f t="shared" si="2"/>
        <v>30</v>
      </c>
      <c r="H4" s="6">
        <f t="shared" si="3"/>
        <v>42.5</v>
      </c>
      <c r="I4" s="7">
        <f t="shared" si="4"/>
        <v>4.25</v>
      </c>
      <c r="J4" s="5">
        <v>0</v>
      </c>
      <c r="K4" s="5">
        <v>54</v>
      </c>
      <c r="L4" s="7">
        <f t="shared" si="5"/>
        <v>13.5</v>
      </c>
      <c r="M4" s="10">
        <v>8</v>
      </c>
      <c r="N4" s="7">
        <f>K4+M4</f>
        <v>62</v>
      </c>
      <c r="O4" s="7">
        <f t="shared" si="6"/>
        <v>15.5</v>
      </c>
      <c r="P4" s="11">
        <f>I4+J4+O4</f>
        <v>19.75</v>
      </c>
    </row>
    <row r="5" spans="1:16" x14ac:dyDescent="0.25">
      <c r="A5" s="3">
        <v>201300527</v>
      </c>
      <c r="B5" s="4">
        <v>19.5</v>
      </c>
      <c r="C5" s="4">
        <v>10</v>
      </c>
      <c r="D5" s="4">
        <v>6.5</v>
      </c>
      <c r="E5" s="5">
        <f t="shared" si="0"/>
        <v>97.5</v>
      </c>
      <c r="F5" s="5">
        <f t="shared" si="1"/>
        <v>100</v>
      </c>
      <c r="G5" s="5">
        <f t="shared" si="2"/>
        <v>65</v>
      </c>
      <c r="H5" s="6">
        <f t="shared" si="3"/>
        <v>87.5</v>
      </c>
      <c r="I5" s="7">
        <f t="shared" si="4"/>
        <v>8.75</v>
      </c>
      <c r="J5" s="5">
        <v>8.5</v>
      </c>
      <c r="K5" s="5">
        <v>57.5</v>
      </c>
      <c r="L5" s="7">
        <f t="shared" si="5"/>
        <v>14.375</v>
      </c>
      <c r="M5" s="10">
        <f>60/100*20</f>
        <v>12</v>
      </c>
      <c r="N5" s="7">
        <f>K5+M5</f>
        <v>69.5</v>
      </c>
      <c r="O5" s="7">
        <f t="shared" si="6"/>
        <v>17.375</v>
      </c>
      <c r="P5" s="11">
        <f>I5+J5+O5</f>
        <v>34.625</v>
      </c>
    </row>
    <row r="6" spans="1:16" x14ac:dyDescent="0.25">
      <c r="A6" s="3">
        <v>201300566</v>
      </c>
      <c r="B6" s="4">
        <v>0</v>
      </c>
      <c r="C6" s="4">
        <v>10</v>
      </c>
      <c r="D6" s="4">
        <v>6</v>
      </c>
      <c r="E6" s="5">
        <f t="shared" si="0"/>
        <v>0</v>
      </c>
      <c r="F6" s="5">
        <f t="shared" si="1"/>
        <v>100</v>
      </c>
      <c r="G6" s="5">
        <f t="shared" si="2"/>
        <v>60</v>
      </c>
      <c r="H6" s="6">
        <f t="shared" si="3"/>
        <v>53.333333333333336</v>
      </c>
      <c r="I6" s="7">
        <f t="shared" si="4"/>
        <v>5.3333333333333339</v>
      </c>
      <c r="J6" s="5">
        <v>9.5</v>
      </c>
      <c r="K6" s="5">
        <v>50</v>
      </c>
      <c r="L6" s="7">
        <f t="shared" si="5"/>
        <v>12.5</v>
      </c>
      <c r="M6" s="10">
        <v>0</v>
      </c>
      <c r="N6" s="7">
        <f>K6+M6</f>
        <v>50</v>
      </c>
      <c r="O6" s="7">
        <f t="shared" si="6"/>
        <v>12.5</v>
      </c>
      <c r="P6" s="11">
        <f>I6+J6+O6</f>
        <v>27.333333333333336</v>
      </c>
    </row>
    <row r="7" spans="1:16" x14ac:dyDescent="0.25">
      <c r="A7" s="3">
        <v>201300579</v>
      </c>
      <c r="B7" s="4">
        <v>20</v>
      </c>
      <c r="C7" s="4">
        <v>0</v>
      </c>
      <c r="D7" s="4">
        <v>3</v>
      </c>
      <c r="E7" s="5">
        <f t="shared" si="0"/>
        <v>100</v>
      </c>
      <c r="F7" s="5">
        <f t="shared" si="1"/>
        <v>0</v>
      </c>
      <c r="G7" s="5">
        <f t="shared" si="2"/>
        <v>30</v>
      </c>
      <c r="H7" s="6">
        <f t="shared" si="3"/>
        <v>43.333333333333336</v>
      </c>
      <c r="I7" s="7">
        <f t="shared" si="4"/>
        <v>4.3333333333333339</v>
      </c>
      <c r="J7" s="5">
        <v>0</v>
      </c>
      <c r="K7" s="5">
        <v>80</v>
      </c>
      <c r="L7" s="7">
        <f t="shared" si="5"/>
        <v>20</v>
      </c>
      <c r="M7" s="10">
        <f>40/100*20</f>
        <v>8</v>
      </c>
      <c r="N7" s="7">
        <f>K7+M7</f>
        <v>88</v>
      </c>
      <c r="O7" s="7">
        <f t="shared" si="6"/>
        <v>22</v>
      </c>
      <c r="P7" s="11">
        <f>I7+J7+O7</f>
        <v>26.333333333333336</v>
      </c>
    </row>
    <row r="8" spans="1:16" x14ac:dyDescent="0.25">
      <c r="A8" s="3">
        <v>201301130</v>
      </c>
      <c r="B8" s="4">
        <v>19.5</v>
      </c>
      <c r="C8" s="4">
        <v>10</v>
      </c>
      <c r="D8" s="4">
        <v>6</v>
      </c>
      <c r="E8" s="5">
        <f t="shared" si="0"/>
        <v>97.5</v>
      </c>
      <c r="F8" s="5">
        <f t="shared" si="1"/>
        <v>100</v>
      </c>
      <c r="G8" s="5">
        <f t="shared" si="2"/>
        <v>60</v>
      </c>
      <c r="H8" s="6">
        <f t="shared" si="3"/>
        <v>85.833333333333329</v>
      </c>
      <c r="I8" s="7">
        <f t="shared" si="4"/>
        <v>8.5833333333333321</v>
      </c>
      <c r="J8" s="5">
        <v>9.5</v>
      </c>
      <c r="K8" s="5">
        <v>99.5</v>
      </c>
      <c r="L8" s="7">
        <f t="shared" si="5"/>
        <v>24.875</v>
      </c>
      <c r="M8" s="10">
        <v>0</v>
      </c>
      <c r="N8" s="7">
        <f>K8+M8</f>
        <v>99.5</v>
      </c>
      <c r="O8" s="7">
        <f t="shared" si="6"/>
        <v>24.875</v>
      </c>
      <c r="P8" s="11">
        <f>I8+J8+O8</f>
        <v>42.958333333333329</v>
      </c>
    </row>
    <row r="9" spans="1:16" x14ac:dyDescent="0.25">
      <c r="A9" s="3">
        <v>201301357</v>
      </c>
      <c r="B9" s="4">
        <v>0</v>
      </c>
      <c r="C9" s="4">
        <v>10</v>
      </c>
      <c r="D9" s="4">
        <v>6.5</v>
      </c>
      <c r="E9" s="5">
        <f t="shared" si="0"/>
        <v>0</v>
      </c>
      <c r="F9" s="5">
        <f t="shared" si="1"/>
        <v>100</v>
      </c>
      <c r="G9" s="5">
        <f t="shared" si="2"/>
        <v>65</v>
      </c>
      <c r="H9" s="6">
        <f t="shared" si="3"/>
        <v>55</v>
      </c>
      <c r="I9" s="7">
        <f t="shared" si="4"/>
        <v>5.5</v>
      </c>
      <c r="J9" s="5">
        <v>9.5</v>
      </c>
      <c r="K9" s="5">
        <v>94.5</v>
      </c>
      <c r="L9" s="7">
        <f t="shared" si="5"/>
        <v>23.625</v>
      </c>
      <c r="M9" s="10">
        <v>0</v>
      </c>
      <c r="N9" s="7">
        <f>K9+M9</f>
        <v>94.5</v>
      </c>
      <c r="O9" s="7">
        <f t="shared" si="6"/>
        <v>23.625</v>
      </c>
      <c r="P9" s="11">
        <f>I9+J9+O9</f>
        <v>38.625</v>
      </c>
    </row>
    <row r="10" spans="1:16" x14ac:dyDescent="0.25">
      <c r="A10" s="3">
        <v>201301556</v>
      </c>
      <c r="B10" s="4">
        <v>15</v>
      </c>
      <c r="C10" s="4">
        <v>0</v>
      </c>
      <c r="D10" s="4">
        <v>3</v>
      </c>
      <c r="E10" s="5">
        <f t="shared" si="0"/>
        <v>75</v>
      </c>
      <c r="F10" s="5">
        <f t="shared" si="1"/>
        <v>0</v>
      </c>
      <c r="G10" s="5">
        <f t="shared" si="2"/>
        <v>30</v>
      </c>
      <c r="H10" s="6">
        <f t="shared" si="3"/>
        <v>35</v>
      </c>
      <c r="I10" s="7">
        <f t="shared" si="4"/>
        <v>3.5</v>
      </c>
      <c r="J10" s="5">
        <v>0</v>
      </c>
      <c r="K10" s="5">
        <v>55</v>
      </c>
      <c r="L10" s="7">
        <f t="shared" si="5"/>
        <v>13.75</v>
      </c>
      <c r="M10" s="10">
        <f>40/100*20</f>
        <v>8</v>
      </c>
      <c r="N10" s="7">
        <f>K10+M10</f>
        <v>63</v>
      </c>
      <c r="O10" s="7">
        <f t="shared" si="6"/>
        <v>15.75</v>
      </c>
      <c r="P10" s="11">
        <f>I10+J10+O10</f>
        <v>19.25</v>
      </c>
    </row>
    <row r="11" spans="1:16" x14ac:dyDescent="0.25">
      <c r="A11" s="3">
        <v>201301579</v>
      </c>
      <c r="B11" s="4">
        <v>19</v>
      </c>
      <c r="C11" s="4">
        <v>10</v>
      </c>
      <c r="D11" s="4">
        <v>8</v>
      </c>
      <c r="E11" s="5">
        <f t="shared" si="0"/>
        <v>95</v>
      </c>
      <c r="F11" s="5">
        <f t="shared" si="1"/>
        <v>100</v>
      </c>
      <c r="G11" s="5">
        <f t="shared" si="2"/>
        <v>80</v>
      </c>
      <c r="H11" s="6">
        <f t="shared" si="3"/>
        <v>91.666666666666671</v>
      </c>
      <c r="I11" s="7">
        <f t="shared" si="4"/>
        <v>9.1666666666666679</v>
      </c>
      <c r="J11" s="5">
        <v>6</v>
      </c>
      <c r="K11" s="5">
        <v>71.5</v>
      </c>
      <c r="L11" s="7">
        <f t="shared" si="5"/>
        <v>17.875</v>
      </c>
      <c r="M11" s="10">
        <v>0</v>
      </c>
      <c r="N11" s="7">
        <f>K11+M11</f>
        <v>71.5</v>
      </c>
      <c r="O11" s="7">
        <f t="shared" si="6"/>
        <v>17.875</v>
      </c>
      <c r="P11" s="11">
        <f>I11+J11+O11</f>
        <v>33.041666666666671</v>
      </c>
    </row>
    <row r="12" spans="1:16" x14ac:dyDescent="0.25">
      <c r="A12" s="3">
        <v>201301661</v>
      </c>
      <c r="B12" s="4">
        <v>14.5</v>
      </c>
      <c r="C12" s="4">
        <v>4</v>
      </c>
      <c r="D12" s="4">
        <v>4.5</v>
      </c>
      <c r="E12" s="5">
        <f t="shared" si="0"/>
        <v>72.5</v>
      </c>
      <c r="F12" s="5">
        <f t="shared" si="1"/>
        <v>40</v>
      </c>
      <c r="G12" s="5">
        <f t="shared" si="2"/>
        <v>45</v>
      </c>
      <c r="H12" s="6">
        <f t="shared" si="3"/>
        <v>52.5</v>
      </c>
      <c r="I12" s="7">
        <f t="shared" si="4"/>
        <v>5.25</v>
      </c>
      <c r="J12" s="5">
        <v>8</v>
      </c>
      <c r="K12" s="5">
        <v>79.5</v>
      </c>
      <c r="L12" s="7">
        <f t="shared" si="5"/>
        <v>19.875</v>
      </c>
      <c r="M12" s="10">
        <v>0</v>
      </c>
      <c r="N12" s="7">
        <f>K12+M12</f>
        <v>79.5</v>
      </c>
      <c r="O12" s="7">
        <f t="shared" si="6"/>
        <v>19.875</v>
      </c>
      <c r="P12" s="11">
        <f>I12+J12+O12</f>
        <v>33.125</v>
      </c>
    </row>
    <row r="13" spans="1:16" x14ac:dyDescent="0.25">
      <c r="A13" s="3">
        <v>201301700</v>
      </c>
      <c r="B13" s="4">
        <v>19.5</v>
      </c>
      <c r="C13" s="4">
        <v>10</v>
      </c>
      <c r="D13" s="4">
        <v>6</v>
      </c>
      <c r="E13" s="5">
        <f t="shared" si="0"/>
        <v>97.5</v>
      </c>
      <c r="F13" s="5">
        <f t="shared" si="1"/>
        <v>100</v>
      </c>
      <c r="G13" s="5">
        <f t="shared" si="2"/>
        <v>60</v>
      </c>
      <c r="H13" s="6">
        <f t="shared" si="3"/>
        <v>85.833333333333329</v>
      </c>
      <c r="I13" s="7">
        <f t="shared" si="4"/>
        <v>8.5833333333333321</v>
      </c>
      <c r="J13" s="5">
        <v>9.5</v>
      </c>
      <c r="K13" s="5">
        <v>85</v>
      </c>
      <c r="L13" s="7">
        <f t="shared" si="5"/>
        <v>21.25</v>
      </c>
      <c r="M13" s="10">
        <v>0</v>
      </c>
      <c r="N13" s="7">
        <f>K13+M13</f>
        <v>85</v>
      </c>
      <c r="O13" s="7">
        <f t="shared" si="6"/>
        <v>21.25</v>
      </c>
      <c r="P13" s="11">
        <f>I13+J13+O13</f>
        <v>39.333333333333329</v>
      </c>
    </row>
    <row r="14" spans="1:16" x14ac:dyDescent="0.25">
      <c r="A14" s="3">
        <v>201301893</v>
      </c>
      <c r="B14" s="4">
        <v>19.5</v>
      </c>
      <c r="C14" s="4">
        <v>0</v>
      </c>
      <c r="D14" s="4">
        <v>3</v>
      </c>
      <c r="E14" s="5">
        <f t="shared" si="0"/>
        <v>97.5</v>
      </c>
      <c r="F14" s="5">
        <f t="shared" si="1"/>
        <v>0</v>
      </c>
      <c r="G14" s="5">
        <f t="shared" si="2"/>
        <v>30</v>
      </c>
      <c r="H14" s="6">
        <f t="shared" si="3"/>
        <v>42.5</v>
      </c>
      <c r="I14" s="7">
        <f t="shared" si="4"/>
        <v>4.25</v>
      </c>
      <c r="J14" s="5">
        <v>0</v>
      </c>
      <c r="K14" s="5">
        <v>63</v>
      </c>
      <c r="L14" s="7">
        <f t="shared" si="5"/>
        <v>15.75</v>
      </c>
      <c r="M14" s="10">
        <f>40/100*20</f>
        <v>8</v>
      </c>
      <c r="N14" s="7">
        <f>K14+M14</f>
        <v>71</v>
      </c>
      <c r="O14" s="7">
        <f t="shared" si="6"/>
        <v>17.75</v>
      </c>
      <c r="P14" s="11">
        <f>I14+J14+O14</f>
        <v>22</v>
      </c>
    </row>
    <row r="15" spans="1:16" x14ac:dyDescent="0.25">
      <c r="A15" s="3">
        <v>201302231</v>
      </c>
      <c r="B15" s="4">
        <v>0</v>
      </c>
      <c r="C15" s="4">
        <v>10</v>
      </c>
      <c r="D15" s="4">
        <v>0</v>
      </c>
      <c r="E15" s="5">
        <f t="shared" si="0"/>
        <v>0</v>
      </c>
      <c r="F15" s="5">
        <f t="shared" si="1"/>
        <v>100</v>
      </c>
      <c r="G15" s="5">
        <f t="shared" si="2"/>
        <v>0</v>
      </c>
      <c r="H15" s="6">
        <f t="shared" si="3"/>
        <v>33.333333333333336</v>
      </c>
      <c r="I15" s="7">
        <f t="shared" si="4"/>
        <v>3.3333333333333339</v>
      </c>
      <c r="J15" s="5">
        <v>9</v>
      </c>
      <c r="K15" s="5">
        <v>65</v>
      </c>
      <c r="L15" s="7">
        <f t="shared" si="5"/>
        <v>16.25</v>
      </c>
      <c r="M15" s="10">
        <v>0</v>
      </c>
      <c r="N15" s="7">
        <f>K15+M15</f>
        <v>65</v>
      </c>
      <c r="O15" s="7">
        <f t="shared" si="6"/>
        <v>16.25</v>
      </c>
      <c r="P15" s="11">
        <f>I15+J15+O15</f>
        <v>28.583333333333336</v>
      </c>
    </row>
    <row r="16" spans="1:16" x14ac:dyDescent="0.25">
      <c r="A16" s="3">
        <v>201302512</v>
      </c>
      <c r="B16" s="4">
        <v>19.5</v>
      </c>
      <c r="C16" s="4">
        <v>10</v>
      </c>
      <c r="D16" s="4">
        <v>8</v>
      </c>
      <c r="E16" s="5">
        <f t="shared" si="0"/>
        <v>97.5</v>
      </c>
      <c r="F16" s="5">
        <f t="shared" si="1"/>
        <v>100</v>
      </c>
      <c r="G16" s="5">
        <f t="shared" si="2"/>
        <v>80</v>
      </c>
      <c r="H16" s="6">
        <f t="shared" si="3"/>
        <v>92.5</v>
      </c>
      <c r="I16" s="7">
        <f t="shared" si="4"/>
        <v>9.25</v>
      </c>
      <c r="J16" s="5">
        <v>6</v>
      </c>
      <c r="K16" s="5">
        <v>84.5</v>
      </c>
      <c r="L16" s="7">
        <f t="shared" si="5"/>
        <v>21.125</v>
      </c>
      <c r="M16" s="10">
        <v>0</v>
      </c>
      <c r="N16" s="7">
        <f>K16+M16</f>
        <v>84.5</v>
      </c>
      <c r="O16" s="7">
        <f t="shared" si="6"/>
        <v>21.125</v>
      </c>
      <c r="P16" s="11">
        <f>I16+J16+O16</f>
        <v>36.375</v>
      </c>
    </row>
    <row r="17" spans="1:16" x14ac:dyDescent="0.25">
      <c r="A17" s="3">
        <v>201302548</v>
      </c>
      <c r="B17" s="4">
        <v>19.5</v>
      </c>
      <c r="C17" s="4">
        <v>6</v>
      </c>
      <c r="D17" s="4">
        <v>0</v>
      </c>
      <c r="E17" s="5">
        <f t="shared" si="0"/>
        <v>97.5</v>
      </c>
      <c r="F17" s="5">
        <f t="shared" si="1"/>
        <v>60</v>
      </c>
      <c r="G17" s="5">
        <f t="shared" si="2"/>
        <v>0</v>
      </c>
      <c r="H17" s="6">
        <f t="shared" si="3"/>
        <v>52.5</v>
      </c>
      <c r="I17" s="7">
        <f t="shared" si="4"/>
        <v>5.25</v>
      </c>
      <c r="J17" s="5">
        <v>8.5</v>
      </c>
      <c r="K17" s="5">
        <v>74.5</v>
      </c>
      <c r="L17" s="7">
        <f t="shared" si="5"/>
        <v>18.625</v>
      </c>
      <c r="M17" s="10">
        <v>0</v>
      </c>
      <c r="N17" s="7">
        <f>K17+M17</f>
        <v>74.5</v>
      </c>
      <c r="O17" s="7">
        <f t="shared" si="6"/>
        <v>18.625</v>
      </c>
      <c r="P17" s="11">
        <f>I17+J17+O17</f>
        <v>32.375</v>
      </c>
    </row>
    <row r="18" spans="1:16" x14ac:dyDescent="0.25">
      <c r="A18" s="3">
        <v>201302644</v>
      </c>
      <c r="B18" s="4">
        <v>16.5</v>
      </c>
      <c r="C18" s="4">
        <v>10</v>
      </c>
      <c r="D18" s="4">
        <v>0</v>
      </c>
      <c r="E18" s="5">
        <f t="shared" si="0"/>
        <v>82.5</v>
      </c>
      <c r="F18" s="5">
        <f t="shared" si="1"/>
        <v>100</v>
      </c>
      <c r="G18" s="5">
        <f t="shared" si="2"/>
        <v>0</v>
      </c>
      <c r="H18" s="6">
        <f t="shared" si="3"/>
        <v>60.833333333333336</v>
      </c>
      <c r="I18" s="7">
        <f t="shared" si="4"/>
        <v>6.0833333333333339</v>
      </c>
      <c r="J18" s="5">
        <v>9</v>
      </c>
      <c r="K18" s="5">
        <v>83</v>
      </c>
      <c r="L18" s="7">
        <f t="shared" si="5"/>
        <v>20.75</v>
      </c>
      <c r="M18" s="10">
        <v>0</v>
      </c>
      <c r="N18" s="7">
        <f>K18+M18</f>
        <v>83</v>
      </c>
      <c r="O18" s="7">
        <f t="shared" si="6"/>
        <v>20.75</v>
      </c>
      <c r="P18" s="11">
        <f>I18+J18+O18</f>
        <v>35.833333333333336</v>
      </c>
    </row>
    <row r="19" spans="1:16" x14ac:dyDescent="0.25">
      <c r="A19" s="3">
        <v>201302677</v>
      </c>
      <c r="B19" s="4">
        <v>19.5</v>
      </c>
      <c r="C19" s="4">
        <v>10</v>
      </c>
      <c r="D19" s="4">
        <v>6</v>
      </c>
      <c r="E19" s="5">
        <f t="shared" si="0"/>
        <v>97.5</v>
      </c>
      <c r="F19" s="5">
        <f t="shared" si="1"/>
        <v>100</v>
      </c>
      <c r="G19" s="5">
        <f t="shared" si="2"/>
        <v>60</v>
      </c>
      <c r="H19" s="6">
        <f t="shared" si="3"/>
        <v>85.833333333333329</v>
      </c>
      <c r="I19" s="7">
        <f t="shared" si="4"/>
        <v>8.5833333333333321</v>
      </c>
      <c r="J19" s="5">
        <v>7.5</v>
      </c>
      <c r="K19" s="5">
        <v>74.5</v>
      </c>
      <c r="L19" s="7">
        <f t="shared" si="5"/>
        <v>18.625</v>
      </c>
      <c r="M19" s="10">
        <v>0</v>
      </c>
      <c r="N19" s="7">
        <f>K19+M19</f>
        <v>74.5</v>
      </c>
      <c r="O19" s="7">
        <f t="shared" si="6"/>
        <v>18.625</v>
      </c>
      <c r="P19" s="11">
        <f>I19+J19+O19</f>
        <v>34.708333333333329</v>
      </c>
    </row>
    <row r="20" spans="1:16" x14ac:dyDescent="0.25">
      <c r="A20" s="3">
        <v>201302744</v>
      </c>
      <c r="B20" s="4">
        <v>0</v>
      </c>
      <c r="C20" s="4">
        <v>10</v>
      </c>
      <c r="D20" s="4">
        <v>6.5</v>
      </c>
      <c r="E20" s="5">
        <f t="shared" si="0"/>
        <v>0</v>
      </c>
      <c r="F20" s="5">
        <f t="shared" si="1"/>
        <v>100</v>
      </c>
      <c r="G20" s="5">
        <f t="shared" si="2"/>
        <v>65</v>
      </c>
      <c r="H20" s="6">
        <f t="shared" si="3"/>
        <v>55</v>
      </c>
      <c r="I20" s="7">
        <f t="shared" si="4"/>
        <v>5.5</v>
      </c>
      <c r="J20" s="5">
        <v>9.5</v>
      </c>
      <c r="K20" s="5">
        <v>62.5</v>
      </c>
      <c r="L20" s="7">
        <f t="shared" si="5"/>
        <v>15.625</v>
      </c>
      <c r="M20" s="10">
        <v>0</v>
      </c>
      <c r="N20" s="7">
        <f>K20+M20</f>
        <v>62.5</v>
      </c>
      <c r="O20" s="7">
        <f t="shared" si="6"/>
        <v>15.625</v>
      </c>
      <c r="P20" s="11">
        <f>I20+J20+O20</f>
        <v>30.625</v>
      </c>
    </row>
    <row r="21" spans="1:16" x14ac:dyDescent="0.25">
      <c r="A21" s="4">
        <v>201302775</v>
      </c>
      <c r="B21" s="4">
        <v>0</v>
      </c>
      <c r="C21" s="4">
        <v>10</v>
      </c>
      <c r="D21" s="4">
        <v>6</v>
      </c>
      <c r="E21" s="5">
        <f t="shared" si="0"/>
        <v>0</v>
      </c>
      <c r="F21" s="5">
        <f t="shared" si="1"/>
        <v>100</v>
      </c>
      <c r="G21" s="5">
        <f t="shared" si="2"/>
        <v>60</v>
      </c>
      <c r="H21" s="6">
        <f t="shared" si="3"/>
        <v>53.333333333333336</v>
      </c>
      <c r="I21" s="7">
        <f t="shared" si="4"/>
        <v>5.3333333333333339</v>
      </c>
      <c r="J21" s="5">
        <v>7.5</v>
      </c>
      <c r="K21" s="5">
        <v>13</v>
      </c>
      <c r="L21" s="7">
        <f t="shared" si="5"/>
        <v>3.25</v>
      </c>
      <c r="M21" s="10">
        <v>0</v>
      </c>
      <c r="N21" s="7">
        <f>K21+M21</f>
        <v>13</v>
      </c>
      <c r="O21" s="7">
        <f t="shared" si="6"/>
        <v>3.25</v>
      </c>
      <c r="P21" s="11">
        <f>I21+J21+O21</f>
        <v>16.083333333333336</v>
      </c>
    </row>
    <row r="22" spans="1:16" x14ac:dyDescent="0.25">
      <c r="A22" s="3">
        <v>201302830</v>
      </c>
      <c r="B22" s="4">
        <v>12.5</v>
      </c>
      <c r="C22" s="4">
        <v>10</v>
      </c>
      <c r="D22" s="4">
        <v>6</v>
      </c>
      <c r="E22" s="5">
        <f t="shared" si="0"/>
        <v>62.5</v>
      </c>
      <c r="F22" s="5">
        <f t="shared" si="1"/>
        <v>100</v>
      </c>
      <c r="G22" s="5">
        <f t="shared" si="2"/>
        <v>60</v>
      </c>
      <c r="H22" s="6">
        <f t="shared" si="3"/>
        <v>74.166666666666671</v>
      </c>
      <c r="I22" s="7">
        <f t="shared" si="4"/>
        <v>7.4166666666666679</v>
      </c>
      <c r="J22" s="5">
        <v>9.5</v>
      </c>
      <c r="K22" s="5">
        <v>68</v>
      </c>
      <c r="L22" s="7">
        <f t="shared" si="5"/>
        <v>17</v>
      </c>
      <c r="M22" s="10">
        <v>0</v>
      </c>
      <c r="N22" s="7">
        <f>K22+M22</f>
        <v>68</v>
      </c>
      <c r="O22" s="7">
        <f t="shared" si="6"/>
        <v>17</v>
      </c>
      <c r="P22" s="11">
        <f>I22+J22+O22</f>
        <v>33.916666666666671</v>
      </c>
    </row>
    <row r="23" spans="1:16" x14ac:dyDescent="0.25">
      <c r="A23" s="3">
        <v>201303022</v>
      </c>
      <c r="B23" s="4">
        <v>20</v>
      </c>
      <c r="C23" s="4">
        <v>10</v>
      </c>
      <c r="D23" s="4">
        <v>6.5</v>
      </c>
      <c r="E23" s="5">
        <f t="shared" si="0"/>
        <v>100</v>
      </c>
      <c r="F23" s="5">
        <f t="shared" si="1"/>
        <v>100</v>
      </c>
      <c r="G23" s="5">
        <f t="shared" si="2"/>
        <v>65</v>
      </c>
      <c r="H23" s="6">
        <f t="shared" si="3"/>
        <v>88.333333333333329</v>
      </c>
      <c r="I23" s="7">
        <f t="shared" si="4"/>
        <v>8.8333333333333321</v>
      </c>
      <c r="J23" s="5">
        <v>8.5</v>
      </c>
      <c r="K23" s="5">
        <v>69</v>
      </c>
      <c r="L23" s="7">
        <f t="shared" si="5"/>
        <v>17.25</v>
      </c>
      <c r="M23" s="10">
        <f>60/100*20</f>
        <v>12</v>
      </c>
      <c r="N23" s="7">
        <f>K23+M23</f>
        <v>81</v>
      </c>
      <c r="O23" s="7">
        <f t="shared" si="6"/>
        <v>20.25</v>
      </c>
      <c r="P23" s="11">
        <f>I23+J23+O23</f>
        <v>37.583333333333329</v>
      </c>
    </row>
    <row r="24" spans="1:16" x14ac:dyDescent="0.25">
      <c r="A24" s="3">
        <v>201303184</v>
      </c>
      <c r="B24" s="4">
        <v>14</v>
      </c>
      <c r="C24" s="4">
        <v>10</v>
      </c>
      <c r="D24" s="4">
        <v>6.5</v>
      </c>
      <c r="E24" s="5">
        <f t="shared" si="0"/>
        <v>70</v>
      </c>
      <c r="F24" s="5">
        <f t="shared" si="1"/>
        <v>100</v>
      </c>
      <c r="G24" s="5">
        <f t="shared" si="2"/>
        <v>65</v>
      </c>
      <c r="H24" s="6">
        <f t="shared" si="3"/>
        <v>78.333333333333329</v>
      </c>
      <c r="I24" s="7">
        <f t="shared" si="4"/>
        <v>7.8333333333333321</v>
      </c>
      <c r="J24" s="5">
        <v>8.5</v>
      </c>
      <c r="K24" s="5">
        <v>84</v>
      </c>
      <c r="L24" s="7">
        <f t="shared" si="5"/>
        <v>21</v>
      </c>
      <c r="M24" s="10">
        <f>60/100*20</f>
        <v>12</v>
      </c>
      <c r="N24" s="7">
        <f>K24+M24</f>
        <v>96</v>
      </c>
      <c r="O24" s="7">
        <f t="shared" si="6"/>
        <v>24</v>
      </c>
      <c r="P24" s="11">
        <f>I24+J24+O24</f>
        <v>40.333333333333329</v>
      </c>
    </row>
    <row r="25" spans="1:16" x14ac:dyDescent="0.25">
      <c r="A25" s="3">
        <v>201303364</v>
      </c>
      <c r="B25" s="4">
        <v>16.5</v>
      </c>
      <c r="C25" s="4">
        <v>10</v>
      </c>
      <c r="D25" s="4">
        <v>6.5</v>
      </c>
      <c r="E25" s="5">
        <f t="shared" si="0"/>
        <v>82.5</v>
      </c>
      <c r="F25" s="5">
        <f t="shared" si="1"/>
        <v>100</v>
      </c>
      <c r="G25" s="5">
        <f t="shared" si="2"/>
        <v>65</v>
      </c>
      <c r="H25" s="6">
        <f t="shared" si="3"/>
        <v>82.5</v>
      </c>
      <c r="I25" s="7">
        <f t="shared" si="4"/>
        <v>8.25</v>
      </c>
      <c r="J25" s="5">
        <v>8.5</v>
      </c>
      <c r="K25" s="5">
        <v>79</v>
      </c>
      <c r="L25" s="7">
        <f t="shared" si="5"/>
        <v>19.75</v>
      </c>
      <c r="M25" s="10">
        <f>60/100*20</f>
        <v>12</v>
      </c>
      <c r="N25" s="7">
        <f>K25+M25</f>
        <v>91</v>
      </c>
      <c r="O25" s="7">
        <f t="shared" si="6"/>
        <v>22.75</v>
      </c>
      <c r="P25" s="11">
        <f>I25+J25+O25</f>
        <v>39.5</v>
      </c>
    </row>
    <row r="26" spans="1:16" x14ac:dyDescent="0.25">
      <c r="A26" s="3">
        <v>201303525</v>
      </c>
      <c r="B26" s="4">
        <v>18</v>
      </c>
      <c r="C26" s="4">
        <v>10</v>
      </c>
      <c r="D26" s="4">
        <v>8</v>
      </c>
      <c r="E26" s="5">
        <f t="shared" si="0"/>
        <v>90</v>
      </c>
      <c r="F26" s="5">
        <f t="shared" si="1"/>
        <v>100</v>
      </c>
      <c r="G26" s="5">
        <f t="shared" si="2"/>
        <v>80</v>
      </c>
      <c r="H26" s="6">
        <f t="shared" si="3"/>
        <v>90</v>
      </c>
      <c r="I26" s="7">
        <f t="shared" si="4"/>
        <v>9</v>
      </c>
      <c r="J26" s="5">
        <v>8.5</v>
      </c>
      <c r="K26" s="5">
        <v>91</v>
      </c>
      <c r="L26" s="7">
        <f t="shared" si="5"/>
        <v>22.75</v>
      </c>
      <c r="M26" s="10">
        <f>40/100*20</f>
        <v>8</v>
      </c>
      <c r="N26" s="7">
        <f>K26+M26</f>
        <v>99</v>
      </c>
      <c r="O26" s="7">
        <f t="shared" si="6"/>
        <v>24.75</v>
      </c>
      <c r="P26" s="11">
        <f>I26+J26+O26</f>
        <v>42.25</v>
      </c>
    </row>
    <row r="27" spans="1:16" x14ac:dyDescent="0.25">
      <c r="A27" s="3">
        <v>201303779</v>
      </c>
      <c r="B27" s="4">
        <v>17.5</v>
      </c>
      <c r="C27" s="4">
        <v>10</v>
      </c>
      <c r="D27" s="4">
        <v>6</v>
      </c>
      <c r="E27" s="5">
        <f t="shared" si="0"/>
        <v>87.5</v>
      </c>
      <c r="F27" s="5">
        <f t="shared" si="1"/>
        <v>100</v>
      </c>
      <c r="G27" s="5">
        <f t="shared" si="2"/>
        <v>60</v>
      </c>
      <c r="H27" s="6">
        <f t="shared" si="3"/>
        <v>82.5</v>
      </c>
      <c r="I27" s="7">
        <f t="shared" si="4"/>
        <v>8.25</v>
      </c>
      <c r="J27" s="5">
        <v>7.5</v>
      </c>
      <c r="K27" s="5">
        <v>76.5</v>
      </c>
      <c r="L27" s="7">
        <f t="shared" si="5"/>
        <v>19.125</v>
      </c>
      <c r="M27" s="10">
        <v>0</v>
      </c>
      <c r="N27" s="7">
        <f>K27+M27</f>
        <v>76.5</v>
      </c>
      <c r="O27" s="7">
        <f t="shared" si="6"/>
        <v>19.125</v>
      </c>
      <c r="P27" s="11">
        <f>I27+J27+O27</f>
        <v>34.875</v>
      </c>
    </row>
    <row r="28" spans="1:16" x14ac:dyDescent="0.25">
      <c r="A28" s="3">
        <v>201303799</v>
      </c>
      <c r="B28" s="4">
        <v>19</v>
      </c>
      <c r="C28" s="4">
        <v>10</v>
      </c>
      <c r="D28" s="4">
        <v>6.5</v>
      </c>
      <c r="E28" s="5">
        <f t="shared" si="0"/>
        <v>95</v>
      </c>
      <c r="F28" s="5">
        <f t="shared" si="1"/>
        <v>100</v>
      </c>
      <c r="G28" s="5">
        <f t="shared" si="2"/>
        <v>65</v>
      </c>
      <c r="H28" s="6">
        <f t="shared" si="3"/>
        <v>86.666666666666671</v>
      </c>
      <c r="I28" s="7">
        <f t="shared" si="4"/>
        <v>8.6666666666666679</v>
      </c>
      <c r="J28" s="5">
        <v>9.5</v>
      </c>
      <c r="K28" s="5">
        <v>90</v>
      </c>
      <c r="L28" s="7">
        <f t="shared" si="5"/>
        <v>22.5</v>
      </c>
      <c r="M28" s="10">
        <v>0</v>
      </c>
      <c r="N28" s="7">
        <f>K28+M28</f>
        <v>90</v>
      </c>
      <c r="O28" s="7">
        <f t="shared" si="6"/>
        <v>22.5</v>
      </c>
      <c r="P28" s="11">
        <f>I28+J28+O28</f>
        <v>40.666666666666671</v>
      </c>
    </row>
    <row r="29" spans="1:16" x14ac:dyDescent="0.25">
      <c r="A29" s="3">
        <v>201303805</v>
      </c>
      <c r="B29" s="4">
        <v>19.5</v>
      </c>
      <c r="C29" s="4">
        <v>6</v>
      </c>
      <c r="D29" s="4">
        <v>0</v>
      </c>
      <c r="E29" s="5">
        <f t="shared" si="0"/>
        <v>97.5</v>
      </c>
      <c r="F29" s="5">
        <f t="shared" si="1"/>
        <v>60</v>
      </c>
      <c r="G29" s="5">
        <f t="shared" si="2"/>
        <v>0</v>
      </c>
      <c r="H29" s="6">
        <f t="shared" si="3"/>
        <v>52.5</v>
      </c>
      <c r="I29" s="7">
        <f t="shared" si="4"/>
        <v>5.25</v>
      </c>
      <c r="J29" s="5">
        <v>8.5</v>
      </c>
      <c r="K29" s="5">
        <v>73</v>
      </c>
      <c r="L29" s="7">
        <f t="shared" si="5"/>
        <v>18.25</v>
      </c>
      <c r="M29" s="10">
        <v>0</v>
      </c>
      <c r="N29" s="7">
        <f>K29+M29</f>
        <v>73</v>
      </c>
      <c r="O29" s="7">
        <f t="shared" si="6"/>
        <v>18.25</v>
      </c>
      <c r="P29" s="11">
        <f>I29+J29+O29</f>
        <v>32</v>
      </c>
    </row>
    <row r="30" spans="1:16" x14ac:dyDescent="0.25">
      <c r="A30" s="3">
        <v>201304101</v>
      </c>
      <c r="B30" s="4">
        <v>19.5</v>
      </c>
      <c r="C30" s="4">
        <v>10</v>
      </c>
      <c r="D30" s="4">
        <v>6.5</v>
      </c>
      <c r="E30" s="5">
        <f t="shared" si="0"/>
        <v>97.5</v>
      </c>
      <c r="F30" s="5">
        <f t="shared" si="1"/>
        <v>100</v>
      </c>
      <c r="G30" s="5">
        <f t="shared" si="2"/>
        <v>65</v>
      </c>
      <c r="H30" s="6">
        <f t="shared" si="3"/>
        <v>87.5</v>
      </c>
      <c r="I30" s="7">
        <f t="shared" si="4"/>
        <v>8.75</v>
      </c>
      <c r="J30" s="5">
        <v>9.5</v>
      </c>
      <c r="K30" s="5">
        <v>95</v>
      </c>
      <c r="L30" s="7">
        <f t="shared" si="5"/>
        <v>23.75</v>
      </c>
      <c r="M30" s="10">
        <v>0</v>
      </c>
      <c r="N30" s="7">
        <f>K30+M30</f>
        <v>95</v>
      </c>
      <c r="O30" s="7">
        <f t="shared" si="6"/>
        <v>23.75</v>
      </c>
      <c r="P30" s="11">
        <f>I30+J30+O30</f>
        <v>42</v>
      </c>
    </row>
    <row r="31" spans="1:16" x14ac:dyDescent="0.25">
      <c r="A31" s="3">
        <v>201304146</v>
      </c>
      <c r="B31" s="4">
        <v>19</v>
      </c>
      <c r="C31" s="4">
        <v>10</v>
      </c>
      <c r="D31" s="4">
        <v>6.5</v>
      </c>
      <c r="E31" s="5">
        <f t="shared" si="0"/>
        <v>95</v>
      </c>
      <c r="F31" s="5">
        <f t="shared" si="1"/>
        <v>100</v>
      </c>
      <c r="G31" s="5">
        <f t="shared" si="2"/>
        <v>65</v>
      </c>
      <c r="H31" s="6">
        <f t="shared" si="3"/>
        <v>86.666666666666671</v>
      </c>
      <c r="I31" s="7">
        <f t="shared" si="4"/>
        <v>8.6666666666666679</v>
      </c>
      <c r="J31" s="5">
        <v>8.5</v>
      </c>
      <c r="K31" s="5">
        <v>71</v>
      </c>
      <c r="L31" s="7">
        <f t="shared" si="5"/>
        <v>17.75</v>
      </c>
      <c r="M31" s="10">
        <v>8</v>
      </c>
      <c r="N31" s="7">
        <f>K31+M31</f>
        <v>79</v>
      </c>
      <c r="O31" s="7">
        <f t="shared" si="6"/>
        <v>19.75</v>
      </c>
      <c r="P31" s="11">
        <f>I31+J31+O31</f>
        <v>36.916666666666671</v>
      </c>
    </row>
    <row r="32" spans="1:16" x14ac:dyDescent="0.25">
      <c r="A32" s="3">
        <v>201304242</v>
      </c>
      <c r="B32" s="4">
        <v>19.5</v>
      </c>
      <c r="C32" s="4">
        <v>10</v>
      </c>
      <c r="D32" s="4">
        <v>6</v>
      </c>
      <c r="E32" s="5">
        <f t="shared" si="0"/>
        <v>97.5</v>
      </c>
      <c r="F32" s="5">
        <f t="shared" si="1"/>
        <v>100</v>
      </c>
      <c r="G32" s="5">
        <f t="shared" si="2"/>
        <v>60</v>
      </c>
      <c r="H32" s="6">
        <f t="shared" si="3"/>
        <v>85.833333333333329</v>
      </c>
      <c r="I32" s="7">
        <f t="shared" si="4"/>
        <v>8.5833333333333321</v>
      </c>
      <c r="J32" s="5">
        <v>7.5</v>
      </c>
      <c r="K32" s="5">
        <v>86.5</v>
      </c>
      <c r="L32" s="7">
        <f t="shared" si="5"/>
        <v>21.625</v>
      </c>
      <c r="M32" s="10">
        <v>0</v>
      </c>
      <c r="N32" s="7">
        <f>K32+M32</f>
        <v>86.5</v>
      </c>
      <c r="O32" s="7">
        <f t="shared" si="6"/>
        <v>21.625</v>
      </c>
      <c r="P32" s="11">
        <f>I32+J32+O32</f>
        <v>37.708333333333329</v>
      </c>
    </row>
    <row r="33" spans="1:16" x14ac:dyDescent="0.25">
      <c r="A33" s="3">
        <v>201304629</v>
      </c>
      <c r="B33" s="4">
        <v>16.5</v>
      </c>
      <c r="C33" s="4">
        <v>10</v>
      </c>
      <c r="D33" s="4">
        <v>6</v>
      </c>
      <c r="E33" s="5">
        <f t="shared" si="0"/>
        <v>82.5</v>
      </c>
      <c r="F33" s="5">
        <f t="shared" si="1"/>
        <v>100</v>
      </c>
      <c r="G33" s="5">
        <f t="shared" si="2"/>
        <v>60</v>
      </c>
      <c r="H33" s="6">
        <f t="shared" si="3"/>
        <v>80.833333333333329</v>
      </c>
      <c r="I33" s="7">
        <f t="shared" si="4"/>
        <v>8.0833333333333321</v>
      </c>
      <c r="J33" s="5">
        <v>7.5</v>
      </c>
      <c r="K33" s="5">
        <v>65</v>
      </c>
      <c r="L33" s="7">
        <f t="shared" si="5"/>
        <v>16.25</v>
      </c>
      <c r="M33" s="10">
        <v>0</v>
      </c>
      <c r="N33" s="7">
        <f>K33+M33</f>
        <v>65</v>
      </c>
      <c r="O33" s="7">
        <f t="shared" si="6"/>
        <v>16.25</v>
      </c>
      <c r="P33" s="11">
        <f>I33+J33+O33</f>
        <v>31.833333333333332</v>
      </c>
    </row>
    <row r="34" spans="1:16" x14ac:dyDescent="0.25">
      <c r="A34" s="3">
        <v>201304864</v>
      </c>
      <c r="B34" s="4">
        <v>15.5</v>
      </c>
      <c r="C34" s="4">
        <v>4</v>
      </c>
      <c r="D34" s="4">
        <v>4.5</v>
      </c>
      <c r="E34" s="5">
        <f t="shared" si="0"/>
        <v>77.5</v>
      </c>
      <c r="F34" s="5">
        <f t="shared" si="1"/>
        <v>40</v>
      </c>
      <c r="G34" s="5">
        <f t="shared" si="2"/>
        <v>45</v>
      </c>
      <c r="H34" s="6">
        <f t="shared" si="3"/>
        <v>54.166666666666664</v>
      </c>
      <c r="I34" s="7">
        <f t="shared" si="4"/>
        <v>5.4166666666666661</v>
      </c>
      <c r="J34" s="5">
        <v>8</v>
      </c>
      <c r="K34" s="5">
        <v>86</v>
      </c>
      <c r="L34" s="7">
        <f t="shared" si="5"/>
        <v>21.5</v>
      </c>
      <c r="M34" s="10">
        <v>0</v>
      </c>
      <c r="N34" s="7">
        <f>K34+M34</f>
        <v>86</v>
      </c>
      <c r="O34" s="7">
        <f t="shared" si="6"/>
        <v>21.5</v>
      </c>
      <c r="P34" s="11">
        <f>I34+J34+O34</f>
        <v>34.916666666666664</v>
      </c>
    </row>
    <row r="35" spans="1:16" x14ac:dyDescent="0.25">
      <c r="A35" s="3">
        <v>201305085</v>
      </c>
      <c r="B35" s="4">
        <v>0</v>
      </c>
      <c r="C35" s="4">
        <v>10</v>
      </c>
      <c r="D35" s="4">
        <v>8</v>
      </c>
      <c r="E35" s="5">
        <f t="shared" si="0"/>
        <v>0</v>
      </c>
      <c r="F35" s="5">
        <f t="shared" si="1"/>
        <v>100</v>
      </c>
      <c r="G35" s="5">
        <f t="shared" si="2"/>
        <v>80</v>
      </c>
      <c r="H35" s="6">
        <f t="shared" si="3"/>
        <v>60</v>
      </c>
      <c r="I35" s="7">
        <f t="shared" si="4"/>
        <v>6</v>
      </c>
      <c r="J35" s="5">
        <v>8.5</v>
      </c>
      <c r="K35" s="5">
        <v>61.5</v>
      </c>
      <c r="L35" s="7">
        <f t="shared" si="5"/>
        <v>15.375</v>
      </c>
      <c r="M35" s="10">
        <v>8</v>
      </c>
      <c r="N35" s="7">
        <f>K35+M35</f>
        <v>69.5</v>
      </c>
      <c r="O35" s="7">
        <f t="shared" si="6"/>
        <v>17.375</v>
      </c>
      <c r="P35" s="11">
        <f>I35+J35+O35</f>
        <v>31.875</v>
      </c>
    </row>
    <row r="36" spans="1:16" x14ac:dyDescent="0.25">
      <c r="A36" s="3">
        <v>201305127</v>
      </c>
      <c r="B36" s="4"/>
      <c r="C36" s="4"/>
      <c r="D36" s="4"/>
      <c r="E36" s="5">
        <f t="shared" si="0"/>
        <v>0</v>
      </c>
      <c r="F36" s="5">
        <f t="shared" si="1"/>
        <v>0</v>
      </c>
      <c r="G36" s="5">
        <f t="shared" si="2"/>
        <v>0</v>
      </c>
      <c r="H36" s="6">
        <f t="shared" si="3"/>
        <v>0</v>
      </c>
      <c r="I36" s="7">
        <f t="shared" si="4"/>
        <v>0</v>
      </c>
      <c r="J36" s="5"/>
      <c r="K36" s="5">
        <v>0</v>
      </c>
      <c r="L36" s="7">
        <f t="shared" si="5"/>
        <v>0</v>
      </c>
      <c r="M36" s="10">
        <v>0</v>
      </c>
      <c r="N36" s="7">
        <f>K36+M36</f>
        <v>0</v>
      </c>
      <c r="O36" s="7">
        <f t="shared" si="6"/>
        <v>0</v>
      </c>
      <c r="P36" s="11">
        <f>I36+J36+O36</f>
        <v>0</v>
      </c>
    </row>
    <row r="37" spans="1:16" x14ac:dyDescent="0.25">
      <c r="A37" s="3">
        <v>201305232</v>
      </c>
      <c r="B37" s="4">
        <v>18.5</v>
      </c>
      <c r="C37" s="4">
        <v>6</v>
      </c>
      <c r="D37" s="4">
        <v>0</v>
      </c>
      <c r="E37" s="5">
        <f t="shared" si="0"/>
        <v>92.5</v>
      </c>
      <c r="F37" s="5">
        <f t="shared" si="1"/>
        <v>60</v>
      </c>
      <c r="G37" s="5">
        <f t="shared" si="2"/>
        <v>0</v>
      </c>
      <c r="H37" s="6">
        <f t="shared" si="3"/>
        <v>50.833333333333336</v>
      </c>
      <c r="I37" s="7">
        <f t="shared" si="4"/>
        <v>5.0833333333333339</v>
      </c>
      <c r="J37" s="5">
        <v>8.5</v>
      </c>
      <c r="K37" s="5">
        <v>67.5</v>
      </c>
      <c r="L37" s="7">
        <f t="shared" si="5"/>
        <v>16.875</v>
      </c>
      <c r="M37" s="10">
        <v>0</v>
      </c>
      <c r="N37" s="7">
        <f>K37+M37</f>
        <v>67.5</v>
      </c>
      <c r="O37" s="7">
        <f t="shared" si="6"/>
        <v>16.875</v>
      </c>
      <c r="P37" s="11">
        <f>I37+J37+O37</f>
        <v>30.458333333333336</v>
      </c>
    </row>
    <row r="38" spans="1:16" x14ac:dyDescent="0.25">
      <c r="A38" s="3">
        <v>201305531</v>
      </c>
      <c r="B38" s="4">
        <v>19.5</v>
      </c>
      <c r="C38" s="4">
        <v>10</v>
      </c>
      <c r="D38" s="4">
        <v>8</v>
      </c>
      <c r="E38" s="5">
        <f t="shared" si="0"/>
        <v>97.5</v>
      </c>
      <c r="F38" s="5">
        <f t="shared" si="1"/>
        <v>100</v>
      </c>
      <c r="G38" s="5">
        <f t="shared" si="2"/>
        <v>80</v>
      </c>
      <c r="H38" s="6">
        <f t="shared" si="3"/>
        <v>92.5</v>
      </c>
      <c r="I38" s="7">
        <f t="shared" si="4"/>
        <v>9.25</v>
      </c>
      <c r="J38" s="5">
        <v>6</v>
      </c>
      <c r="K38" s="5">
        <v>58</v>
      </c>
      <c r="L38" s="7">
        <f t="shared" si="5"/>
        <v>14.5</v>
      </c>
      <c r="M38" s="10">
        <v>0</v>
      </c>
      <c r="N38" s="7">
        <f>K38+M38</f>
        <v>58</v>
      </c>
      <c r="O38" s="7">
        <f t="shared" si="6"/>
        <v>14.5</v>
      </c>
      <c r="P38" s="11">
        <f>I38+J38+O38</f>
        <v>29.75</v>
      </c>
    </row>
    <row r="39" spans="1:16" x14ac:dyDescent="0.25">
      <c r="A39" s="3">
        <v>201305701</v>
      </c>
      <c r="B39" s="4">
        <v>19.5</v>
      </c>
      <c r="C39" s="4">
        <v>4</v>
      </c>
      <c r="D39" s="4">
        <v>4.5</v>
      </c>
      <c r="E39" s="5">
        <f t="shared" si="0"/>
        <v>97.5</v>
      </c>
      <c r="F39" s="5">
        <f t="shared" si="1"/>
        <v>40</v>
      </c>
      <c r="G39" s="5">
        <f t="shared" si="2"/>
        <v>45</v>
      </c>
      <c r="H39" s="6">
        <f t="shared" si="3"/>
        <v>60.833333333333336</v>
      </c>
      <c r="I39" s="7">
        <f t="shared" si="4"/>
        <v>6.0833333333333339</v>
      </c>
      <c r="J39" s="5">
        <v>8</v>
      </c>
      <c r="K39" s="5">
        <v>89</v>
      </c>
      <c r="L39" s="7">
        <f t="shared" si="5"/>
        <v>22.25</v>
      </c>
      <c r="M39" s="10">
        <v>0</v>
      </c>
      <c r="N39" s="7">
        <f>K39+M39</f>
        <v>89</v>
      </c>
      <c r="O39" s="7">
        <f t="shared" si="6"/>
        <v>22.25</v>
      </c>
      <c r="P39" s="11">
        <f>I39+J39+O39</f>
        <v>36.333333333333336</v>
      </c>
    </row>
    <row r="40" spans="1:16" x14ac:dyDescent="0.25">
      <c r="A40" s="4">
        <v>201306025</v>
      </c>
      <c r="B40" s="4">
        <v>0</v>
      </c>
      <c r="C40" s="4">
        <v>10</v>
      </c>
      <c r="D40" s="4">
        <v>8</v>
      </c>
      <c r="E40" s="5">
        <f t="shared" si="0"/>
        <v>0</v>
      </c>
      <c r="F40" s="5">
        <f t="shared" si="1"/>
        <v>100</v>
      </c>
      <c r="G40" s="5">
        <f t="shared" si="2"/>
        <v>80</v>
      </c>
      <c r="H40" s="6">
        <f t="shared" si="3"/>
        <v>60</v>
      </c>
      <c r="I40" s="7">
        <f t="shared" si="4"/>
        <v>6</v>
      </c>
      <c r="J40" s="5">
        <v>6</v>
      </c>
      <c r="K40" s="5">
        <v>61.5</v>
      </c>
      <c r="L40" s="7">
        <f t="shared" si="5"/>
        <v>15.375</v>
      </c>
      <c r="M40" s="10">
        <v>0</v>
      </c>
      <c r="N40" s="7">
        <f>K40+M40</f>
        <v>61.5</v>
      </c>
      <c r="O40" s="7">
        <f t="shared" si="6"/>
        <v>15.375</v>
      </c>
      <c r="P40" s="11">
        <f>I40+J40+O40</f>
        <v>27.375</v>
      </c>
    </row>
    <row r="41" spans="1:16" x14ac:dyDescent="0.25">
      <c r="A41" s="3">
        <v>201306045</v>
      </c>
      <c r="B41" s="4">
        <v>18.5</v>
      </c>
      <c r="C41" s="4">
        <v>6</v>
      </c>
      <c r="D41" s="4">
        <v>0</v>
      </c>
      <c r="E41" s="5">
        <f t="shared" si="0"/>
        <v>92.5</v>
      </c>
      <c r="F41" s="5">
        <f t="shared" si="1"/>
        <v>60</v>
      </c>
      <c r="G41" s="5">
        <f t="shared" si="2"/>
        <v>0</v>
      </c>
      <c r="H41" s="6">
        <f t="shared" si="3"/>
        <v>50.833333333333336</v>
      </c>
      <c r="I41" s="7">
        <f t="shared" si="4"/>
        <v>5.0833333333333339</v>
      </c>
      <c r="J41" s="5">
        <v>8.5</v>
      </c>
      <c r="K41" s="5">
        <v>72.5</v>
      </c>
      <c r="L41" s="7">
        <f t="shared" si="5"/>
        <v>18.125</v>
      </c>
      <c r="M41" s="10">
        <v>0</v>
      </c>
      <c r="N41" s="7">
        <f>K41+M41</f>
        <v>72.5</v>
      </c>
      <c r="O41" s="7">
        <f t="shared" si="6"/>
        <v>18.125</v>
      </c>
      <c r="P41" s="11">
        <f>I41+J41+O41</f>
        <v>31.708333333333336</v>
      </c>
    </row>
    <row r="42" spans="1:16" x14ac:dyDescent="0.25">
      <c r="A42" s="3">
        <v>201306046</v>
      </c>
      <c r="B42" s="4">
        <v>9</v>
      </c>
      <c r="C42" s="4">
        <v>10</v>
      </c>
      <c r="D42" s="4">
        <v>0</v>
      </c>
      <c r="E42" s="5">
        <f t="shared" si="0"/>
        <v>45</v>
      </c>
      <c r="F42" s="5">
        <f t="shared" si="1"/>
        <v>100</v>
      </c>
      <c r="G42" s="5">
        <f t="shared" si="2"/>
        <v>0</v>
      </c>
      <c r="H42" s="6">
        <f t="shared" si="3"/>
        <v>48.333333333333336</v>
      </c>
      <c r="I42" s="7">
        <f t="shared" si="4"/>
        <v>4.8333333333333339</v>
      </c>
      <c r="J42" s="5">
        <v>9</v>
      </c>
      <c r="K42" s="5">
        <v>76.5</v>
      </c>
      <c r="L42" s="7">
        <f t="shared" si="5"/>
        <v>19.125</v>
      </c>
      <c r="M42" s="10">
        <v>0</v>
      </c>
      <c r="N42" s="7">
        <f>K42+M42</f>
        <v>76.5</v>
      </c>
      <c r="O42" s="7">
        <f t="shared" si="6"/>
        <v>19.125</v>
      </c>
      <c r="P42" s="11">
        <f>I42+J42+O42</f>
        <v>32.958333333333336</v>
      </c>
    </row>
    <row r="43" spans="1:16" x14ac:dyDescent="0.25">
      <c r="A43" s="3">
        <v>201306460</v>
      </c>
      <c r="B43" s="4">
        <v>15.5</v>
      </c>
      <c r="C43" s="4">
        <v>4</v>
      </c>
      <c r="D43" s="4">
        <v>4.5</v>
      </c>
      <c r="E43" s="5">
        <f t="shared" si="0"/>
        <v>77.5</v>
      </c>
      <c r="F43" s="5">
        <f t="shared" si="1"/>
        <v>40</v>
      </c>
      <c r="G43" s="5">
        <f t="shared" si="2"/>
        <v>45</v>
      </c>
      <c r="H43" s="6">
        <f t="shared" si="3"/>
        <v>54.166666666666664</v>
      </c>
      <c r="I43" s="7">
        <f t="shared" si="4"/>
        <v>5.4166666666666661</v>
      </c>
      <c r="J43" s="5">
        <v>8</v>
      </c>
      <c r="K43" s="5">
        <v>63</v>
      </c>
      <c r="L43" s="7">
        <f t="shared" si="5"/>
        <v>15.75</v>
      </c>
      <c r="M43" s="10">
        <v>0</v>
      </c>
      <c r="N43" s="7">
        <f>K43+M43</f>
        <v>63</v>
      </c>
      <c r="O43" s="7">
        <f t="shared" si="6"/>
        <v>15.75</v>
      </c>
      <c r="P43" s="11">
        <f>I43+J43+O43</f>
        <v>29.166666666666664</v>
      </c>
    </row>
    <row r="44" spans="1:16" x14ac:dyDescent="0.25">
      <c r="H44" s="9"/>
      <c r="I44" s="9"/>
    </row>
  </sheetData>
  <sortState ref="A2:N44">
    <sortCondition ref="A1"/>
  </sortState>
  <pageMargins left="0.7" right="0.7" top="0.75" bottom="0.75" header="0.51180555555555496" footer="0.51180555555555496"/>
  <pageSetup firstPageNumber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Khamis</dc:creator>
  <cp:lastModifiedBy>Alaa Khamis</cp:lastModifiedBy>
  <dcterms:created xsi:type="dcterms:W3CDTF">2017-01-02T16:01:06Z</dcterms:created>
  <dcterms:modified xsi:type="dcterms:W3CDTF">2017-01-03T20:44:29Z</dcterms:modified>
</cp:coreProperties>
</file>